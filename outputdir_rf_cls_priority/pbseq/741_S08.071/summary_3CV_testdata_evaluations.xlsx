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13_ncr:1_{886FBBAE-954C-4073-BE38-146930F77AD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/>
  <c r="J5" i="1"/>
  <c r="I8" i="1"/>
  <c r="J8" i="1"/>
  <c r="K8" i="1"/>
  <c r="L8" i="1"/>
  <c r="M8" i="1"/>
  <c r="N8" i="1"/>
  <c r="O8" i="1"/>
  <c r="P8" i="1"/>
  <c r="H8" i="1"/>
  <c r="I7" i="1"/>
  <c r="J7" i="1"/>
  <c r="K7" i="1"/>
  <c r="L7" i="1"/>
  <c r="M7" i="1"/>
  <c r="N7" i="1"/>
  <c r="O7" i="1"/>
  <c r="P7" i="1"/>
  <c r="H7" i="1"/>
  <c r="I6" i="1"/>
  <c r="J6" i="1"/>
  <c r="K6" i="1"/>
  <c r="L6" i="1"/>
  <c r="M6" i="1"/>
  <c r="N6" i="1"/>
  <c r="O6" i="1"/>
  <c r="P6" i="1"/>
  <c r="H6" i="1"/>
  <c r="K5" i="1"/>
  <c r="L5" i="1"/>
  <c r="M5" i="1"/>
  <c r="N5" i="1"/>
  <c r="O5" i="1"/>
  <c r="P5" i="1"/>
</calcChain>
</file>

<file path=xl/sharedStrings.xml><?xml version="1.0" encoding="utf-8"?>
<sst xmlns="http://schemas.openxmlformats.org/spreadsheetml/2006/main" count="56" uniqueCount="28">
  <si>
    <t>metric</t>
    <phoneticPr fontId="1"/>
  </si>
  <si>
    <t>mean</t>
    <phoneticPr fontId="1"/>
  </si>
  <si>
    <t>std</t>
    <phoneticPr fontId="1"/>
  </si>
  <si>
    <t>min</t>
    <phoneticPr fontId="1"/>
  </si>
  <si>
    <t>max</t>
    <phoneticPr fontId="1"/>
  </si>
  <si>
    <t>mae</t>
    <phoneticPr fontId="1"/>
  </si>
  <si>
    <t>mse</t>
    <phoneticPr fontId="1"/>
  </si>
  <si>
    <t>rmse</t>
    <phoneticPr fontId="1"/>
  </si>
  <si>
    <t>r2</t>
    <phoneticPr fontId="1"/>
  </si>
  <si>
    <t>accuracy</t>
    <phoneticPr fontId="1"/>
  </si>
  <si>
    <t>precision</t>
    <phoneticPr fontId="1"/>
  </si>
  <si>
    <t>recall_sen</t>
    <phoneticPr fontId="1"/>
  </si>
  <si>
    <t>specificity</t>
    <phoneticPr fontId="1"/>
  </si>
  <si>
    <t>f1</t>
    <phoneticPr fontId="1"/>
  </si>
  <si>
    <t>roc_auc</t>
  </si>
  <si>
    <t>roc_auc</t>
    <phoneticPr fontId="1"/>
  </si>
  <si>
    <t>pr_auc</t>
    <phoneticPr fontId="1"/>
  </si>
  <si>
    <t>mcc</t>
    <phoneticPr fontId="1"/>
  </si>
  <si>
    <t>fold</t>
  </si>
  <si>
    <t>optimal_threshold</t>
  </si>
  <si>
    <t>val_mae</t>
  </si>
  <si>
    <t>val_mse</t>
  </si>
  <si>
    <t>test data</t>
    <phoneticPr fontId="1"/>
  </si>
  <si>
    <t>f1_score</t>
  </si>
  <si>
    <t>precision_score</t>
  </si>
  <si>
    <t>recall_score</t>
  </si>
  <si>
    <t>accuracy_value</t>
  </si>
  <si>
    <t>none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</si>
</sst>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I11" sqref="I11"/>
    </sheetView>
  </sheetViews>
  <sheetFormatPr defaultRowHeight="17.649999999999999"/>
  <cols>
    <col min="1" max="1" width="9.5625" bestFit="1" customWidth="1"/>
    <col min="2" max="5" width="12.125" bestFit="1" customWidth="1"/>
    <col min="7" max="7" width="8.375" bestFit="1" customWidth="1"/>
    <col min="8" max="8" width="12.125" bestFit="1" customWidth="1"/>
    <col min="9" max="9" width="16.5" bestFit="1" customWidth="1"/>
    <col min="10" max="13" width="12.125" bestFit="1" customWidth="1"/>
    <col min="14" max="14" width="14.4375" bestFit="1" customWidth="1"/>
    <col min="15" max="15" width="12.125" bestFit="1" customWidth="1"/>
    <col min="16" max="16" width="14.0625" bestFit="1" customWidth="1"/>
  </cols>
  <sheetData>
    <row r="1" spans="1:17">
      <c r="A1" s="5" t="s">
        <v>0</v>
      </c>
      <c r="B1" s="6" t="s">
        <v>1</v>
      </c>
      <c r="C1" s="7" t="s">
        <v>2</v>
      </c>
      <c r="D1" s="4" t="s">
        <v>3</v>
      </c>
      <c r="E1" s="1" t="s">
        <v>4</v>
      </c>
      <c r="G1" s="3" t="s">
        <v>18</v>
      </c>
      <c r="H1" s="3" t="s">
        <v>14</v>
      </c>
      <c r="I1" s="3" t="s">
        <v>19</v>
      </c>
      <c r="J1" s="3" t="s">
        <v>20</v>
      </c>
      <c r="K1" s="3" t="s">
        <v>21</v>
      </c>
      <c r="L1" s="3" t="s">
        <v>14</v>
      </c>
      <c r="M1" s="3" t="s">
        <v>23</v>
      </c>
      <c r="N1" s="3" t="s">
        <v>24</v>
      </c>
      <c r="O1" s="3" t="s">
        <v>25</v>
      </c>
      <c r="P1" s="3" t="s">
        <v>26</v>
      </c>
    </row>
    <row r="2" spans="1:17">
      <c r="A2" s="8" t="s">
        <v>5</v>
      </c>
      <c r="B2" s="1">
        <v>0.16438657601115733</v>
      </c>
      <c r="C2" s="9">
        <v>2.3334987342290441E-3</v>
      </c>
      <c r="D2" s="4">
        <v>0.16233472803347199</v>
      </c>
      <c r="E2" s="1">
        <v>0.16692499999999999</v>
      </c>
      <c r="G2" s="3">
        <v>1</v>
      </c>
      <c r="H2" s="3">
        <v>0.99296027262128905</v>
      </c>
      <c r="I2" s="3">
        <v>0.33400000000000002</v>
      </c>
      <c r="J2" s="3">
        <v>0.16692499999999999</v>
      </c>
      <c r="K2" s="3">
        <v>4.9842816666666602E-2</v>
      </c>
      <c r="L2" s="3">
        <v>0.99296027262128905</v>
      </c>
      <c r="M2" s="3">
        <v>0.96</v>
      </c>
      <c r="N2" s="3">
        <v>0.967741935483871</v>
      </c>
      <c r="O2" s="3">
        <v>0.952380952380952</v>
      </c>
      <c r="P2" s="3">
        <v>0.97916666666666596</v>
      </c>
    </row>
    <row r="3" spans="1:17">
      <c r="A3" s="8" t="s">
        <v>6</v>
      </c>
      <c r="B3" s="1">
        <v>4.400089788470473E-2</v>
      </c>
      <c r="C3" s="9">
        <v>5.1003944274091101E-3</v>
      </c>
      <c r="D3" s="4">
        <v>4.0433399999999897E-2</v>
      </c>
      <c r="E3" s="1">
        <v>4.9842816666666602E-2</v>
      </c>
      <c r="G3" s="3">
        <v>2</v>
      </c>
      <c r="H3" s="3">
        <v>0.99919289749798201</v>
      </c>
      <c r="I3" s="3">
        <v>0.35</v>
      </c>
      <c r="J3" s="3">
        <v>0.16389999999999999</v>
      </c>
      <c r="K3" s="3">
        <v>4.0433399999999897E-2</v>
      </c>
      <c r="L3" s="3">
        <v>0.99919289749798201</v>
      </c>
      <c r="M3" s="3">
        <v>0.97674418604651103</v>
      </c>
      <c r="N3" s="3">
        <v>0.95454545454545403</v>
      </c>
      <c r="O3" s="3">
        <v>1</v>
      </c>
      <c r="P3" s="3">
        <v>0.98750000000000004</v>
      </c>
    </row>
    <row r="4" spans="1:17">
      <c r="A4" s="8" t="s">
        <v>7</v>
      </c>
      <c r="B4" s="1" t="s">
        <v>27</v>
      </c>
      <c r="C4" s="9" t="s">
        <v>27</v>
      </c>
      <c r="D4" s="4" t="s">
        <v>27</v>
      </c>
      <c r="E4" s="1" t="s">
        <v>27</v>
      </c>
      <c r="G4" s="3">
        <v>3</v>
      </c>
      <c r="H4" s="3">
        <v>0.99908875523965701</v>
      </c>
      <c r="I4" s="3">
        <v>0.33400000000000002</v>
      </c>
      <c r="J4" s="3">
        <v>0.16233472803347199</v>
      </c>
      <c r="K4" s="3">
        <v>4.1726476987447698E-2</v>
      </c>
      <c r="L4" s="3">
        <v>0.99908875523965701</v>
      </c>
      <c r="M4" s="3">
        <v>0.96875</v>
      </c>
      <c r="N4" s="3">
        <v>0.939393939393939</v>
      </c>
      <c r="O4" s="3">
        <v>1</v>
      </c>
      <c r="P4" s="3">
        <v>0.98326359832635901</v>
      </c>
    </row>
    <row r="5" spans="1:17">
      <c r="A5" s="8" t="s">
        <v>8</v>
      </c>
      <c r="B5" s="1" t="s">
        <v>27</v>
      </c>
      <c r="C5" s="9" t="s">
        <v>27</v>
      </c>
      <c r="D5" s="4" t="s">
        <v>27</v>
      </c>
      <c r="E5" s="1" t="s">
        <v>27</v>
      </c>
      <c r="G5" s="1" t="s">
        <v>1</v>
      </c>
      <c r="H5" s="1">
        <f>AVERAGE(H2:H4)</f>
        <v>0.9970806417863094</v>
      </c>
      <c r="I5" s="1">
        <f t="shared" ref="I5:P5" si="0">AVERAGE(I2:I4)</f>
        <v>0.33933333333333332</v>
      </c>
      <c r="J5" s="1">
        <f t="shared" si="0"/>
        <v>0.16438657601115733</v>
      </c>
      <c r="K5" s="1">
        <f t="shared" si="0"/>
        <v>4.400089788470473E-2</v>
      </c>
      <c r="L5" s="1">
        <f t="shared" si="0"/>
        <v>0.9970806417863094</v>
      </c>
      <c r="M5" s="1">
        <f t="shared" si="0"/>
        <v>0.9684980620155037</v>
      </c>
      <c r="N5" s="1">
        <f t="shared" si="0"/>
        <v>0.95389377647442142</v>
      </c>
      <c r="O5" s="1">
        <f t="shared" si="0"/>
        <v>0.98412698412698407</v>
      </c>
      <c r="P5" s="1">
        <f t="shared" si="0"/>
        <v>0.9833100883310083</v>
      </c>
    </row>
    <row r="6" spans="1:17">
      <c r="A6" s="8" t="s">
        <v>9</v>
      </c>
      <c r="B6" s="1">
        <v>0.9833100883310083</v>
      </c>
      <c r="C6" s="9">
        <v>4.1668611809746485E-3</v>
      </c>
      <c r="D6" s="4">
        <v>0.97916666666666596</v>
      </c>
      <c r="E6" s="1">
        <v>0.98750000000000004</v>
      </c>
      <c r="G6" s="1" t="s">
        <v>2</v>
      </c>
      <c r="H6" s="1">
        <f>_xlfn.STDEV.S(H2:H4)</f>
        <v>3.568724274097098E-3</v>
      </c>
      <c r="I6" s="1">
        <f t="shared" ref="I6:P6" si="1">_xlfn.STDEV.S(I2:I4)</f>
        <v>9.2376043070339885E-3</v>
      </c>
      <c r="J6" s="1">
        <f t="shared" si="1"/>
        <v>2.3334987342290441E-3</v>
      </c>
      <c r="K6" s="1">
        <f t="shared" si="1"/>
        <v>5.1003944274091101E-3</v>
      </c>
      <c r="L6" s="1">
        <f t="shared" si="1"/>
        <v>3.568724274097098E-3</v>
      </c>
      <c r="M6" s="1">
        <f t="shared" si="1"/>
        <v>8.3749355908608655E-3</v>
      </c>
      <c r="N6" s="1">
        <f t="shared" si="1"/>
        <v>1.418522942394301E-2</v>
      </c>
      <c r="O6" s="1">
        <f t="shared" si="1"/>
        <v>2.7492869961410975E-2</v>
      </c>
      <c r="P6" s="1">
        <f t="shared" si="1"/>
        <v>4.1668611809746485E-3</v>
      </c>
    </row>
    <row r="7" spans="1:17">
      <c r="A7" s="8" t="s">
        <v>10</v>
      </c>
      <c r="B7" s="1">
        <v>0.95389377647442142</v>
      </c>
      <c r="C7" s="9">
        <v>1.418522942394301E-2</v>
      </c>
      <c r="D7" s="4">
        <v>0.939393939393939</v>
      </c>
      <c r="E7" s="1">
        <v>0.967741935483871</v>
      </c>
      <c r="G7" s="1" t="s">
        <v>3</v>
      </c>
      <c r="H7" s="1">
        <f>MIN(H2:H4)</f>
        <v>0.99296027262128905</v>
      </c>
      <c r="I7" s="1">
        <f t="shared" ref="I7:P7" si="2">MIN(I2:I4)</f>
        <v>0.33400000000000002</v>
      </c>
      <c r="J7" s="1">
        <f t="shared" si="2"/>
        <v>0.16233472803347199</v>
      </c>
      <c r="K7" s="1">
        <f t="shared" si="2"/>
        <v>4.0433399999999897E-2</v>
      </c>
      <c r="L7" s="1">
        <f t="shared" si="2"/>
        <v>0.99296027262128905</v>
      </c>
      <c r="M7" s="1">
        <f t="shared" si="2"/>
        <v>0.96</v>
      </c>
      <c r="N7" s="1">
        <f t="shared" si="2"/>
        <v>0.939393939393939</v>
      </c>
      <c r="O7" s="1">
        <f t="shared" si="2"/>
        <v>0.952380952380952</v>
      </c>
      <c r="P7" s="1">
        <f t="shared" si="2"/>
        <v>0.97916666666666596</v>
      </c>
    </row>
    <row r="8" spans="1:17">
      <c r="A8" s="8" t="s">
        <v>11</v>
      </c>
      <c r="B8" s="1">
        <v>0.98412698412698407</v>
      </c>
      <c r="C8" s="9">
        <v>2.7492869961410975E-2</v>
      </c>
      <c r="D8" s="4">
        <v>0.952380952380952</v>
      </c>
      <c r="E8" s="1">
        <v>1</v>
      </c>
      <c r="G8" s="1" t="s">
        <v>4</v>
      </c>
      <c r="H8" s="1">
        <f>MAX(H2:H4)</f>
        <v>0.99919289749798201</v>
      </c>
      <c r="I8" s="1">
        <f t="shared" ref="I8:P8" si="3">MAX(I2:I4)</f>
        <v>0.35</v>
      </c>
      <c r="J8" s="1">
        <f t="shared" si="3"/>
        <v>0.16692499999999999</v>
      </c>
      <c r="K8" s="1">
        <f t="shared" si="3"/>
        <v>4.9842816666666602E-2</v>
      </c>
      <c r="L8" s="1">
        <f t="shared" si="3"/>
        <v>0.99919289749798201</v>
      </c>
      <c r="M8" s="1">
        <f t="shared" si="3"/>
        <v>0.97674418604651103</v>
      </c>
      <c r="N8" s="1">
        <f t="shared" si="3"/>
        <v>0.967741935483871</v>
      </c>
      <c r="O8" s="1">
        <f t="shared" si="3"/>
        <v>1</v>
      </c>
      <c r="P8" s="1">
        <f t="shared" si="3"/>
        <v>0.98750000000000004</v>
      </c>
    </row>
    <row r="9" spans="1:17">
      <c r="A9" s="8" t="s">
        <v>12</v>
      </c>
      <c r="B9" s="1" t="s">
        <v>27</v>
      </c>
      <c r="C9" s="9" t="s">
        <v>27</v>
      </c>
      <c r="D9" s="4" t="s">
        <v>27</v>
      </c>
      <c r="E9" s="1" t="s">
        <v>27</v>
      </c>
    </row>
    <row r="10" spans="1:17">
      <c r="A10" s="8" t="s">
        <v>13</v>
      </c>
      <c r="B10" s="1">
        <v>0.9684980620155037</v>
      </c>
      <c r="C10" s="9">
        <v>8.3749355908608655E-3</v>
      </c>
      <c r="D10" s="4">
        <v>0.96</v>
      </c>
      <c r="E10" s="1">
        <v>0.97674418604651103</v>
      </c>
      <c r="G10" t="s">
        <v>22</v>
      </c>
      <c r="I10" s="2">
        <v>0.33933333333333299</v>
      </c>
      <c r="J10">
        <v>0.15498611100000001</v>
      </c>
      <c r="K10">
        <v>3.9857193999999999E-2</v>
      </c>
      <c r="L10" s="2">
        <v>0.99937934458788402</v>
      </c>
      <c r="M10" s="2">
        <v>0.962025316455696</v>
      </c>
      <c r="N10" s="2">
        <v>0.92682926829268297</v>
      </c>
      <c r="O10" s="2">
        <v>1</v>
      </c>
      <c r="P10" s="2">
        <v>0.97916666666666596</v>
      </c>
      <c r="Q10" s="2">
        <v>0.33933333333333299</v>
      </c>
    </row>
    <row r="11" spans="1:17">
      <c r="A11" s="8" t="s">
        <v>15</v>
      </c>
      <c r="B11" s="1">
        <v>0.9970806417863094</v>
      </c>
      <c r="C11" s="9">
        <v>3.568724274097098E-3</v>
      </c>
      <c r="D11" s="4">
        <v>0.99296027262128905</v>
      </c>
      <c r="E11" s="1">
        <v>0.99919289749798201</v>
      </c>
    </row>
    <row r="12" spans="1:17">
      <c r="A12" s="8" t="s">
        <v>16</v>
      </c>
      <c r="B12" s="1" t="s">
        <v>27</v>
      </c>
      <c r="C12" s="9" t="s">
        <v>27</v>
      </c>
      <c r="D12" s="4" t="s">
        <v>27</v>
      </c>
      <c r="E12" s="1" t="s">
        <v>27</v>
      </c>
    </row>
    <row r="13" spans="1:17" ht="18" thickBot="1">
      <c r="A13" s="10" t="s">
        <v>17</v>
      </c>
      <c r="B13" s="11" t="s">
        <v>27</v>
      </c>
      <c r="C13" s="12" t="s">
        <v>27</v>
      </c>
      <c r="D13" s="4" t="s">
        <v>27</v>
      </c>
      <c r="E13" s="1" t="s">
        <v>27</v>
      </c>
      <c r="G13" s="1" t="s">
        <v>1</v>
      </c>
      <c r="H13">
        <v>0.9970806417863094</v>
      </c>
      <c r="I13">
        <v>0.33933333333333332</v>
      </c>
      <c r="J13">
        <v>0.16438657601115733</v>
      </c>
      <c r="K13">
        <v>4.400089788470473E-2</v>
      </c>
      <c r="L13">
        <v>0.9970806417863094</v>
      </c>
      <c r="M13">
        <v>0.9684980620155037</v>
      </c>
      <c r="N13">
        <v>0.95389377647442142</v>
      </c>
      <c r="O13">
        <v>0.98412698412698407</v>
      </c>
      <c r="P13">
        <v>0.9833100883310083</v>
      </c>
    </row>
    <row r="14" spans="1:17">
      <c r="G14" s="1" t="s">
        <v>2</v>
      </c>
      <c r="H14">
        <v>3.568724274097098E-3</v>
      </c>
      <c r="I14">
        <v>9.2376043070339885E-3</v>
      </c>
      <c r="J14">
        <v>2.3334987342290441E-3</v>
      </c>
      <c r="K14">
        <v>5.1003944274091101E-3</v>
      </c>
      <c r="L14">
        <v>3.568724274097098E-3</v>
      </c>
      <c r="M14">
        <v>8.3749355908608655E-3</v>
      </c>
      <c r="N14">
        <v>1.418522942394301E-2</v>
      </c>
      <c r="O14">
        <v>2.7492869961410975E-2</v>
      </c>
      <c r="P14">
        <v>4.1668611809746485E-3</v>
      </c>
    </row>
    <row r="15" spans="1:17">
      <c r="G15" s="1" t="s">
        <v>3</v>
      </c>
      <c r="H15">
        <v>0.99296027262128905</v>
      </c>
      <c r="I15">
        <v>0.33400000000000002</v>
      </c>
      <c r="J15">
        <v>0.16233472803347199</v>
      </c>
      <c r="K15">
        <v>4.0433399999999897E-2</v>
      </c>
      <c r="L15">
        <v>0.99296027262128905</v>
      </c>
      <c r="M15">
        <v>0.96</v>
      </c>
      <c r="N15">
        <v>0.939393939393939</v>
      </c>
      <c r="O15">
        <v>0.952380952380952</v>
      </c>
      <c r="P15">
        <v>0.97916666666666596</v>
      </c>
    </row>
    <row r="16" spans="1:17">
      <c r="G16" s="1" t="s">
        <v>4</v>
      </c>
      <c r="H16">
        <v>0.99919289749798201</v>
      </c>
      <c r="I16">
        <v>0.35</v>
      </c>
      <c r="J16">
        <v>0.16692499999999999</v>
      </c>
      <c r="K16">
        <v>4.9842816666666602E-2</v>
      </c>
      <c r="L16">
        <v>0.99919289749798201</v>
      </c>
      <c r="M16">
        <v>0.97674418604651103</v>
      </c>
      <c r="N16">
        <v>0.967741935483871</v>
      </c>
      <c r="O16">
        <v>1</v>
      </c>
      <c r="P16">
        <v>0.98750000000000004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2015-06-05T18:19:34Z</dcterms:created>
  <dcterms:modified xsi:type="dcterms:W3CDTF">2026-09-14T05:51:44Z</dcterms:modified>
</cp:coreProperties>
</file>